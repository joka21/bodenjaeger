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kal\OneDrive\Desktop\Projekte\jäger\bodenjäger\"/>
    </mc:Choice>
  </mc:AlternateContent>
  <xr:revisionPtr revIDLastSave="0" documentId="8_{89C0865D-EE2F-4D30-AFD7-C7BE5F29D98A}" xr6:coauthVersionLast="47" xr6:coauthVersionMax="47" xr10:uidLastSave="{00000000-0000-0000-0000-000000000000}"/>
  <bookViews>
    <workbookView xWindow="4635" yWindow="4635" windowWidth="38700" windowHeight="15345" xr2:uid="{E35D1AB1-83C1-4313-861C-517F989D6D5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K23" i="1"/>
  <c r="K21" i="1"/>
  <c r="I21" i="1"/>
  <c r="I20" i="1"/>
  <c r="F21" i="1"/>
  <c r="F20" i="1"/>
  <c r="G8" i="1"/>
  <c r="K20" i="1"/>
  <c r="I19" i="1"/>
  <c r="K19" i="1" s="1"/>
  <c r="K14" i="1"/>
  <c r="I15" i="1"/>
  <c r="K15" i="1" s="1"/>
  <c r="I13" i="1"/>
  <c r="K13" i="1" s="1"/>
  <c r="K17" i="1" l="1"/>
</calcChain>
</file>

<file path=xl/sharedStrings.xml><?xml version="1.0" encoding="utf-8"?>
<sst xmlns="http://schemas.openxmlformats.org/spreadsheetml/2006/main" count="67" uniqueCount="36">
  <si>
    <t xml:space="preserve">Produktgruppe </t>
  </si>
  <si>
    <t xml:space="preserve">Produkt </t>
  </si>
  <si>
    <t xml:space="preserve">Verkaufspreis </t>
  </si>
  <si>
    <t xml:space="preserve">Einheit Abkürzug </t>
  </si>
  <si>
    <t>Paket Inhalt</t>
  </si>
  <si>
    <t>Laminat</t>
  </si>
  <si>
    <t>Torgas Eiche</t>
  </si>
  <si>
    <t>m²</t>
  </si>
  <si>
    <t>Sockelleiste</t>
  </si>
  <si>
    <t>Dämmung</t>
  </si>
  <si>
    <t>Basic PE Schaum</t>
  </si>
  <si>
    <t xml:space="preserve">St40 </t>
  </si>
  <si>
    <t>m</t>
  </si>
  <si>
    <t>Berechnung</t>
  </si>
  <si>
    <t xml:space="preserve">Laminat </t>
  </si>
  <si>
    <t xml:space="preserve">Torgas Eiche </t>
  </si>
  <si>
    <t>Gesamtbetrag</t>
  </si>
  <si>
    <t>Anzahl</t>
  </si>
  <si>
    <t>Einheit</t>
  </si>
  <si>
    <t>Pak.</t>
  </si>
  <si>
    <t>Stk.</t>
  </si>
  <si>
    <t>Menge</t>
  </si>
  <si>
    <t>KOSTENLOS</t>
  </si>
  <si>
    <t>St40</t>
  </si>
  <si>
    <t>Bedingung bei kostenlos</t>
  </si>
  <si>
    <t xml:space="preserve">Menge Boden geteilt durch Paket Inhalt Dämmung, Einheit drunter bleiben </t>
  </si>
  <si>
    <t xml:space="preserve">Menge Boden geteilt durch Paket Inhalt Sockelleiste, Einheit drunter bleiben </t>
  </si>
  <si>
    <t>Silenced Board</t>
  </si>
  <si>
    <t>WM58</t>
  </si>
  <si>
    <t>Aufpreis Artikel</t>
  </si>
  <si>
    <t>Verrechnung Aufpreis</t>
  </si>
  <si>
    <t>Bedingung bei Aufpreis</t>
  </si>
  <si>
    <t xml:space="preserve">Menge Boden geteilt durch Paket Inhalt Dämmung, Einheit eine drüber bleiben </t>
  </si>
  <si>
    <t xml:space="preserve">Menge Boden geteilt durch Paket Inhalt Sockelleiste, Einheit eine drüber bleiben </t>
  </si>
  <si>
    <t>Notizen</t>
  </si>
  <si>
    <t>• Alle Artikel nach Verkaufspreis x Paket Inhalt berechnen!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</si>
</sst>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D7BB-50A7-4A29-B215-FC36E2DE5D34}">
  <dimension ref="A1:Z28"/>
  <sheetViews>
    <sheetView tabSelected="1" workbookViewId="0">
      <selection activeCell="B28" sqref="B28"/>
    </sheetView>
  </sheetViews>
  <sheetFormatPr baseColWidth="10" defaultRowHeight="15" x14ac:dyDescent="0.25"/>
  <cols>
    <col min="1" max="2" width="20.7109375" customWidth="1"/>
    <col min="3" max="8" width="20.7109375" style="1" customWidth="1"/>
    <col min="9" max="9" width="20.7109375" style="2" customWidth="1"/>
    <col min="10" max="11" width="20.7109375" style="1" customWidth="1"/>
    <col min="12" max="13" width="78.5703125" style="1" customWidth="1"/>
    <col min="14" max="26" width="20.7109375" style="1" customWidth="1"/>
  </cols>
  <sheetData>
    <row r="1" spans="1:13" x14ac:dyDescent="0.25">
      <c r="C1" s="2" t="s">
        <v>18</v>
      </c>
      <c r="D1" s="2" t="s">
        <v>0</v>
      </c>
      <c r="E1" s="2" t="s">
        <v>1</v>
      </c>
      <c r="F1" s="2" t="s">
        <v>2</v>
      </c>
      <c r="G1" s="2" t="s">
        <v>30</v>
      </c>
      <c r="H1" s="2" t="s">
        <v>4</v>
      </c>
      <c r="J1" s="2" t="s">
        <v>3</v>
      </c>
      <c r="L1" s="2" t="s">
        <v>24</v>
      </c>
      <c r="M1" s="2" t="s">
        <v>31</v>
      </c>
    </row>
    <row r="2" spans="1:13" x14ac:dyDescent="0.25">
      <c r="B2" s="1"/>
    </row>
    <row r="3" spans="1:13" x14ac:dyDescent="0.25">
      <c r="B3" s="1"/>
      <c r="C3" s="1" t="s">
        <v>19</v>
      </c>
      <c r="D3" s="1" t="s">
        <v>5</v>
      </c>
      <c r="E3" s="1" t="s">
        <v>6</v>
      </c>
      <c r="F3" s="1">
        <v>13.99</v>
      </c>
      <c r="H3" s="1">
        <v>2.67</v>
      </c>
      <c r="J3" s="1" t="s">
        <v>7</v>
      </c>
    </row>
    <row r="4" spans="1:13" x14ac:dyDescent="0.25">
      <c r="B4" s="1"/>
      <c r="C4" s="1" t="s">
        <v>7</v>
      </c>
      <c r="D4" s="1" t="s">
        <v>9</v>
      </c>
      <c r="E4" s="1" t="s">
        <v>10</v>
      </c>
      <c r="F4" s="1">
        <v>0.55000000000000004</v>
      </c>
      <c r="H4" s="1">
        <v>1</v>
      </c>
      <c r="J4" s="1" t="s">
        <v>7</v>
      </c>
      <c r="K4" s="4" t="s">
        <v>22</v>
      </c>
    </row>
    <row r="5" spans="1:13" x14ac:dyDescent="0.25">
      <c r="B5" s="1"/>
      <c r="C5" s="1" t="s">
        <v>20</v>
      </c>
      <c r="D5" s="1" t="s">
        <v>8</v>
      </c>
      <c r="E5" s="1" t="s">
        <v>11</v>
      </c>
      <c r="F5" s="1">
        <v>3.5</v>
      </c>
      <c r="H5" s="1">
        <v>2.4</v>
      </c>
      <c r="J5" s="1" t="s">
        <v>12</v>
      </c>
      <c r="K5" s="4" t="s">
        <v>22</v>
      </c>
    </row>
    <row r="6" spans="1:13" x14ac:dyDescent="0.25">
      <c r="B6" s="1"/>
    </row>
    <row r="7" spans="1:13" x14ac:dyDescent="0.25">
      <c r="B7" s="1"/>
      <c r="C7" s="1" t="s">
        <v>19</v>
      </c>
      <c r="D7" s="1" t="s">
        <v>9</v>
      </c>
      <c r="E7" s="1" t="s">
        <v>27</v>
      </c>
      <c r="F7" s="1">
        <v>3</v>
      </c>
      <c r="G7" s="1">
        <f>F7-F4</f>
        <v>2.4500000000000002</v>
      </c>
      <c r="H7" s="1">
        <v>7</v>
      </c>
      <c r="J7" s="1" t="s">
        <v>7</v>
      </c>
      <c r="K7" s="6" t="s">
        <v>29</v>
      </c>
    </row>
    <row r="8" spans="1:13" x14ac:dyDescent="0.25">
      <c r="B8" s="1"/>
      <c r="C8" s="1" t="s">
        <v>20</v>
      </c>
      <c r="D8" s="1" t="s">
        <v>8</v>
      </c>
      <c r="E8" s="1" t="s">
        <v>28</v>
      </c>
      <c r="F8" s="1">
        <v>6</v>
      </c>
      <c r="G8" s="1">
        <f>F8-F5</f>
        <v>2.5</v>
      </c>
      <c r="H8" s="1">
        <v>2.5</v>
      </c>
      <c r="J8" s="1" t="s">
        <v>12</v>
      </c>
      <c r="K8" s="6" t="s">
        <v>29</v>
      </c>
    </row>
    <row r="9" spans="1:13" x14ac:dyDescent="0.25">
      <c r="B9" s="1"/>
    </row>
    <row r="10" spans="1:13" ht="24" x14ac:dyDescent="0.25">
      <c r="A10" s="7" t="s">
        <v>13</v>
      </c>
      <c r="B10" s="1"/>
    </row>
    <row r="11" spans="1:13" x14ac:dyDescent="0.25">
      <c r="B11" s="2" t="s">
        <v>17</v>
      </c>
      <c r="I11" s="2" t="s">
        <v>21</v>
      </c>
      <c r="K11" s="2" t="s">
        <v>16</v>
      </c>
    </row>
    <row r="12" spans="1:13" x14ac:dyDescent="0.25">
      <c r="B12" s="1"/>
    </row>
    <row r="13" spans="1:13" x14ac:dyDescent="0.25">
      <c r="B13" s="1">
        <v>10</v>
      </c>
      <c r="C13" s="1" t="s">
        <v>19</v>
      </c>
      <c r="D13" s="1" t="s">
        <v>14</v>
      </c>
      <c r="E13" s="1" t="s">
        <v>15</v>
      </c>
      <c r="F13" s="1">
        <v>13.99</v>
      </c>
      <c r="H13" s="1">
        <v>2.67</v>
      </c>
      <c r="I13" s="2">
        <f>B13*H13</f>
        <v>26.7</v>
      </c>
      <c r="J13" s="1" t="s">
        <v>7</v>
      </c>
      <c r="K13" s="3">
        <f>I13*F13</f>
        <v>373.53300000000002</v>
      </c>
    </row>
    <row r="14" spans="1:13" x14ac:dyDescent="0.25">
      <c r="B14" s="1">
        <v>26</v>
      </c>
      <c r="C14" s="1" t="s">
        <v>7</v>
      </c>
      <c r="D14" s="1" t="s">
        <v>9</v>
      </c>
      <c r="E14" s="1" t="s">
        <v>10</v>
      </c>
      <c r="F14" s="1">
        <v>0</v>
      </c>
      <c r="H14" s="1">
        <v>1</v>
      </c>
      <c r="I14" s="2">
        <v>26</v>
      </c>
      <c r="J14" s="1" t="s">
        <v>7</v>
      </c>
      <c r="K14" s="3">
        <f>I14*F14</f>
        <v>0</v>
      </c>
      <c r="L14" s="1" t="s">
        <v>25</v>
      </c>
      <c r="M14" s="1" t="s">
        <v>32</v>
      </c>
    </row>
    <row r="15" spans="1:13" x14ac:dyDescent="0.25">
      <c r="B15" s="3">
        <v>11</v>
      </c>
      <c r="C15" s="1" t="s">
        <v>20</v>
      </c>
      <c r="D15" s="1" t="s">
        <v>8</v>
      </c>
      <c r="E15" s="1" t="s">
        <v>23</v>
      </c>
      <c r="F15" s="1">
        <v>0</v>
      </c>
      <c r="H15" s="1">
        <v>2.4</v>
      </c>
      <c r="I15" s="2">
        <f>B15*H15</f>
        <v>26.4</v>
      </c>
      <c r="J15" s="1" t="s">
        <v>12</v>
      </c>
      <c r="K15" s="3">
        <f>I15*F15</f>
        <v>0</v>
      </c>
      <c r="L15" s="1" t="s">
        <v>26</v>
      </c>
      <c r="M15" s="1" t="s">
        <v>33</v>
      </c>
    </row>
    <row r="16" spans="1:13" x14ac:dyDescent="0.25">
      <c r="B16" s="1"/>
    </row>
    <row r="17" spans="1:11" x14ac:dyDescent="0.25">
      <c r="B17" s="1"/>
      <c r="K17" s="5">
        <f>SUM(K13:K16)</f>
        <v>373.53300000000002</v>
      </c>
    </row>
    <row r="18" spans="1:11" x14ac:dyDescent="0.25">
      <c r="B18" s="1"/>
    </row>
    <row r="19" spans="1:11" x14ac:dyDescent="0.25">
      <c r="B19" s="1">
        <v>10</v>
      </c>
      <c r="C19" s="1" t="s">
        <v>19</v>
      </c>
      <c r="D19" s="1" t="s">
        <v>14</v>
      </c>
      <c r="E19" s="1" t="s">
        <v>15</v>
      </c>
      <c r="F19" s="1">
        <v>13.99</v>
      </c>
      <c r="H19" s="1">
        <v>2.67</v>
      </c>
      <c r="I19" s="2">
        <f>B19*H19</f>
        <v>26.7</v>
      </c>
      <c r="J19" s="1" t="s">
        <v>7</v>
      </c>
      <c r="K19" s="3">
        <f>I19*F19</f>
        <v>373.53300000000002</v>
      </c>
    </row>
    <row r="20" spans="1:11" x14ac:dyDescent="0.25">
      <c r="B20" s="1">
        <v>4</v>
      </c>
      <c r="C20" s="1" t="s">
        <v>19</v>
      </c>
      <c r="D20" s="1" t="s">
        <v>9</v>
      </c>
      <c r="E20" s="1" t="s">
        <v>27</v>
      </c>
      <c r="F20" s="1">
        <f>G7</f>
        <v>2.4500000000000002</v>
      </c>
      <c r="H20" s="1">
        <v>7</v>
      </c>
      <c r="I20" s="2">
        <f>H20*B20</f>
        <v>28</v>
      </c>
      <c r="J20" s="1" t="s">
        <v>7</v>
      </c>
      <c r="K20" s="1">
        <f>I20*F20</f>
        <v>68.600000000000009</v>
      </c>
    </row>
    <row r="21" spans="1:11" x14ac:dyDescent="0.25">
      <c r="B21" s="1">
        <v>11</v>
      </c>
      <c r="C21" s="1" t="s">
        <v>20</v>
      </c>
      <c r="D21" s="1" t="s">
        <v>8</v>
      </c>
      <c r="E21" s="1" t="s">
        <v>28</v>
      </c>
      <c r="F21" s="1">
        <f>G8</f>
        <v>2.5</v>
      </c>
      <c r="H21" s="1">
        <v>2.5</v>
      </c>
      <c r="I21" s="2">
        <f>H21*B21</f>
        <v>27.5</v>
      </c>
      <c r="J21" s="1" t="s">
        <v>12</v>
      </c>
      <c r="K21" s="1">
        <f>I21*F21</f>
        <v>68.75</v>
      </c>
    </row>
    <row r="22" spans="1:11" x14ac:dyDescent="0.25">
      <c r="B22" s="1"/>
    </row>
    <row r="23" spans="1:11" x14ac:dyDescent="0.25">
      <c r="B23" s="1"/>
      <c r="K23" s="5">
        <f>SUM(K19:K22)</f>
        <v>510.88300000000004</v>
      </c>
    </row>
    <row r="24" spans="1:11" x14ac:dyDescent="0.25">
      <c r="B24" s="1"/>
    </row>
    <row r="25" spans="1:11" x14ac:dyDescent="0.25">
      <c r="B25" s="1"/>
    </row>
    <row r="26" spans="1:11" x14ac:dyDescent="0.25">
      <c r="B26" s="1"/>
    </row>
    <row r="27" spans="1:11" x14ac:dyDescent="0.25">
      <c r="A27" s="8" t="s">
        <v>34</v>
      </c>
      <c r="B27" s="1"/>
    </row>
    <row r="28" spans="1:11" x14ac:dyDescent="0.25">
      <c r="A28" t="s">
        <v>35</v>
      </c>
      <c r="B28" s="1"/>
    </row>
  </sheetData>
  <pageMargins left="0.7" right="0.7" top="0.78740157499999996" bottom="0.78740157499999996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Jäger</dc:creator>
  <cp:lastModifiedBy>Jo Kalenberg</cp:lastModifiedBy>
  <dcterms:created xsi:type="dcterms:W3CDTF">2025-10-23T15:43:39Z</dcterms:created>
  <dcterms:modified xsi:type="dcterms:W3CDTF">2026-02-18T08:48:37Z</dcterms:modified>
</cp:coreProperties>
</file>